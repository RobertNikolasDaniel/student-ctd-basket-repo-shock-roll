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olas\Documents\"/>
    </mc:Choice>
  </mc:AlternateContent>
  <xr:revisionPtr revIDLastSave="0" documentId="8_{DC8E4FF1-7BFC-4453-9710-D8E41BF98B1A}" xr6:coauthVersionLast="47" xr6:coauthVersionMax="47" xr10:uidLastSave="{00000000-0000-0000-0000-000000000000}"/>
  <bookViews>
    <workbookView xWindow="-28920" yWindow="-120" windowWidth="29040" windowHeight="15720" xr2:uid="{DD0937BD-5DCA-4590-B962-14E415EFBC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" i="1" l="1"/>
  <c r="M14" i="1"/>
  <c r="M13" i="1"/>
  <c r="M12" i="1"/>
  <c r="M11" i="1"/>
  <c r="M10" i="1"/>
  <c r="M9" i="1"/>
  <c r="M8" i="1"/>
  <c r="M7" i="1"/>
  <c r="M6" i="1"/>
  <c r="M5" i="1"/>
  <c r="I14" i="1"/>
  <c r="J14" i="1" s="1"/>
  <c r="I13" i="1"/>
  <c r="J13" i="1" s="1"/>
  <c r="I12" i="1"/>
  <c r="J12" i="1" s="1"/>
  <c r="I11" i="1"/>
  <c r="J11" i="1" s="1"/>
  <c r="K11" i="1" s="1"/>
  <c r="L11" i="1" s="1"/>
  <c r="I10" i="1"/>
  <c r="J10" i="1" s="1"/>
  <c r="K10" i="1" s="1"/>
  <c r="L10" i="1" s="1"/>
  <c r="I9" i="1"/>
  <c r="J9" i="1" s="1"/>
  <c r="K9" i="1" s="1"/>
  <c r="L9" i="1" s="1"/>
  <c r="I8" i="1"/>
  <c r="J8" i="1" s="1"/>
  <c r="I7" i="1"/>
  <c r="J7" i="1" s="1"/>
  <c r="I6" i="1"/>
  <c r="J6" i="1" s="1"/>
  <c r="I5" i="1"/>
  <c r="J5" i="1" s="1"/>
  <c r="I4" i="1"/>
  <c r="J4" i="1" s="1"/>
  <c r="K4" i="1" s="1"/>
  <c r="L4" i="1" s="1"/>
  <c r="I3" i="1"/>
  <c r="J3" i="1" s="1"/>
  <c r="K3" i="1" s="1"/>
  <c r="L3" i="1" s="1"/>
  <c r="N5" i="1" l="1"/>
  <c r="M3" i="1"/>
  <c r="N3" i="1" s="1"/>
  <c r="N10" i="1"/>
  <c r="K14" i="1"/>
  <c r="L14" i="1" s="1"/>
  <c r="N14" i="1"/>
  <c r="N13" i="1"/>
  <c r="K13" i="1"/>
  <c r="L13" i="1" s="1"/>
  <c r="N12" i="1"/>
  <c r="K12" i="1"/>
  <c r="L12" i="1" s="1"/>
  <c r="N11" i="1"/>
  <c r="N9" i="1"/>
  <c r="K8" i="1"/>
  <c r="L8" i="1" s="1"/>
  <c r="N8" i="1"/>
  <c r="K7" i="1"/>
  <c r="L7" i="1" s="1"/>
  <c r="N7" i="1"/>
  <c r="K6" i="1"/>
  <c r="L6" i="1" s="1"/>
  <c r="N6" i="1"/>
  <c r="K5" i="1"/>
  <c r="L5" i="1" s="1"/>
  <c r="N4" i="1"/>
</calcChain>
</file>

<file path=xl/sharedStrings.xml><?xml version="1.0" encoding="utf-8"?>
<sst xmlns="http://schemas.openxmlformats.org/spreadsheetml/2006/main" count="49" uniqueCount="35">
  <si>
    <t>CTD Basket</t>
  </si>
  <si>
    <t>par</t>
  </si>
  <si>
    <t>clean</t>
  </si>
  <si>
    <t>freq</t>
  </si>
  <si>
    <t>since</t>
  </si>
  <si>
    <t>in</t>
  </si>
  <si>
    <t>input</t>
  </si>
  <si>
    <t>acc int</t>
  </si>
  <si>
    <t>dirty</t>
  </si>
  <si>
    <t>output</t>
  </si>
  <si>
    <t>cf</t>
  </si>
  <si>
    <t xml:space="preserve"> </t>
  </si>
  <si>
    <r>
      <t xml:space="preserve">futures FV </t>
    </r>
    <r>
      <rPr>
        <b/>
        <sz val="11"/>
        <color theme="1"/>
        <rFont val="Aptos Narrow"/>
        <family val="2"/>
        <scheme val="minor"/>
      </rPr>
      <t>repo</t>
    </r>
  </si>
  <si>
    <r>
      <t xml:space="preserve">net basis </t>
    </r>
    <r>
      <rPr>
        <b/>
        <sz val="11"/>
        <color theme="1"/>
        <rFont val="Aptos Narrow"/>
        <family val="2"/>
        <scheme val="minor"/>
      </rPr>
      <t>repo</t>
    </r>
  </si>
  <si>
    <r>
      <t xml:space="preserve">futures FV </t>
    </r>
    <r>
      <rPr>
        <b/>
        <sz val="11"/>
        <color theme="1"/>
        <rFont val="Aptos Narrow"/>
        <family val="2"/>
        <scheme val="minor"/>
      </rPr>
      <t>shock</t>
    </r>
  </si>
  <si>
    <r>
      <t xml:space="preserve">net basis </t>
    </r>
    <r>
      <rPr>
        <b/>
        <sz val="11"/>
        <color theme="1"/>
        <rFont val="Aptos Narrow"/>
        <family val="2"/>
        <scheme val="minor"/>
      </rPr>
      <t>shock</t>
    </r>
  </si>
  <si>
    <t>fut dtd</t>
  </si>
  <si>
    <t>repo decimal</t>
  </si>
  <si>
    <t>shock decimal</t>
  </si>
  <si>
    <t xml:space="preserve"> input</t>
  </si>
  <si>
    <t>expected repo MOVE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</si>
  <si>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</si>
  <si>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</si>
  <si>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</si>
  <si>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</si>
  <si>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</si>
  <si>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</si>
  <si>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</si>
  <si>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</si>
  <si>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</si>
  <si>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</si>
  <si>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</si>
  <si>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</si>
  <si>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student-ctd-basket-repo-shock-roll</t>
  </si>
  <si>
    <t>rate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</si>
</sst>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0" borderId="0" xfId="0" applyFill="1" applyBorder="1"/>
    <xf numFmtId="0" fontId="0" fillId="3" borderId="0" xfId="0" applyFill="1" applyBorder="1"/>
    <xf numFmtId="0" fontId="1" fillId="11" borderId="0" xfId="0" applyFont="1" applyFill="1"/>
    <xf numFmtId="0" fontId="0" fillId="9" borderId="0" xfId="0" applyFill="1" applyAlignment="1">
      <alignment wrapText="1"/>
    </xf>
    <xf numFmtId="0" fontId="0" fillId="14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5" borderId="1" xfId="0" applyFill="1" applyBorder="1"/>
    <xf numFmtId="0" fontId="0" fillId="10" borderId="1" xfId="0" applyFill="1" applyBorder="1"/>
    <xf numFmtId="0" fontId="0" fillId="0" borderId="0" xfId="0" applyFill="1"/>
    <xf numFmtId="0" fontId="0" fillId="0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15" borderId="1" xfId="0" applyFont="1" applyFill="1" applyBorder="1"/>
    <xf numFmtId="0" fontId="0" fillId="10" borderId="1" xfId="0" applyFont="1" applyFill="1" applyBorder="1"/>
    <xf numFmtId="0" fontId="0" fillId="8" borderId="0" xfId="0" applyFont="1" applyFill="1" applyBorder="1" applyAlignment="1">
      <alignment wrapText="1"/>
    </xf>
    <xf numFmtId="0" fontId="0" fillId="16" borderId="1" xfId="0" applyFill="1" applyBorder="1"/>
    <xf numFmtId="0" fontId="0" fillId="17" borderId="0" xfId="0" applyFill="1"/>
    <xf numFmtId="0" fontId="0" fillId="8" borderId="0" xfId="0" applyFill="1" applyAlignment="1">
      <alignment horizontal="right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3CD4F-D155-478C-B017-43396EF6724E}">
  <dimension ref="A1:S14"/>
  <sheetViews>
    <sheetView tabSelected="1" workbookViewId="0">
      <selection activeCell="T7" sqref="T7"/>
    </sheetView>
  </sheetViews>
  <sheetFormatPr defaultRowHeight="15" x14ac:dyDescent="0.25"/>
  <cols>
    <col min="1" max="1" width="39.7109375" customWidth="1"/>
    <col min="2" max="2" width="14" customWidth="1"/>
    <col min="3" max="3" width="11.85546875" customWidth="1"/>
    <col min="4" max="4" width="10.85546875" customWidth="1"/>
    <col min="5" max="5" width="11.42578125" customWidth="1"/>
    <col min="6" max="6" width="11.28515625" customWidth="1"/>
    <col min="7" max="7" width="10.5703125" customWidth="1"/>
    <col min="8" max="8" width="10.28515625" customWidth="1"/>
    <col min="9" max="10" width="10.7109375" customWidth="1"/>
    <col min="11" max="11" width="10.140625" customWidth="1"/>
    <col min="12" max="12" width="10.7109375" customWidth="1"/>
    <col min="13" max="13" width="10.28515625" customWidth="1"/>
    <col min="14" max="14" width="11.140625" customWidth="1"/>
    <col min="15" max="15" width="10.5703125" customWidth="1"/>
    <col min="16" max="16" width="11" customWidth="1"/>
    <col min="17" max="17" width="10.7109375" customWidth="1"/>
    <col min="18" max="18" width="9.7109375" customWidth="1"/>
    <col min="19" max="19" width="23.85546875" customWidth="1"/>
  </cols>
  <sheetData>
    <row r="1" spans="1:19" ht="46.5" customHeight="1" x14ac:dyDescent="0.25">
      <c r="A1" s="1" t="s">
        <v>33</v>
      </c>
      <c r="B1" s="3" t="s">
        <v>6</v>
      </c>
      <c r="C1" s="3" t="s">
        <v>6</v>
      </c>
      <c r="D1" s="3" t="s">
        <v>6</v>
      </c>
      <c r="E1" s="3" t="s">
        <v>6</v>
      </c>
      <c r="F1" s="3" t="s">
        <v>6</v>
      </c>
      <c r="G1" s="3" t="s">
        <v>6</v>
      </c>
      <c r="H1" s="3" t="s">
        <v>6</v>
      </c>
      <c r="I1" s="5" t="s">
        <v>9</v>
      </c>
      <c r="J1" s="5" t="s">
        <v>9</v>
      </c>
      <c r="K1" s="5" t="s">
        <v>9</v>
      </c>
      <c r="L1" s="5" t="s">
        <v>9</v>
      </c>
      <c r="M1" s="5" t="s">
        <v>9</v>
      </c>
      <c r="N1" s="5" t="s">
        <v>9</v>
      </c>
      <c r="O1" s="18" t="s">
        <v>11</v>
      </c>
      <c r="P1" s="7" t="s">
        <v>19</v>
      </c>
      <c r="Q1" s="3" t="s">
        <v>6</v>
      </c>
      <c r="R1" s="3" t="s">
        <v>6</v>
      </c>
    </row>
    <row r="2" spans="1:19" ht="36.75" customHeight="1" x14ac:dyDescent="0.25">
      <c r="A2" s="10" t="s">
        <v>0</v>
      </c>
      <c r="B2" s="9" t="s">
        <v>10</v>
      </c>
      <c r="C2" s="2" t="s">
        <v>1</v>
      </c>
      <c r="D2" s="2" t="s">
        <v>2</v>
      </c>
      <c r="E2" s="26" t="s">
        <v>34</v>
      </c>
      <c r="F2" s="2" t="s">
        <v>3</v>
      </c>
      <c r="G2" s="2" t="s">
        <v>4</v>
      </c>
      <c r="H2" s="2" t="s">
        <v>5</v>
      </c>
      <c r="I2" s="4" t="s">
        <v>7</v>
      </c>
      <c r="J2" s="4" t="s">
        <v>8</v>
      </c>
      <c r="K2" s="19" t="s">
        <v>12</v>
      </c>
      <c r="L2" s="11" t="s">
        <v>13</v>
      </c>
      <c r="M2" s="19" t="s">
        <v>14</v>
      </c>
      <c r="N2" s="22" t="s">
        <v>15</v>
      </c>
      <c r="O2" s="18"/>
      <c r="P2" s="19" t="s">
        <v>16</v>
      </c>
      <c r="Q2" s="11" t="s">
        <v>17</v>
      </c>
      <c r="R2" s="6" t="s">
        <v>18</v>
      </c>
    </row>
    <row r="3" spans="1:19" ht="38.25" customHeight="1" x14ac:dyDescent="0.25">
      <c r="A3" s="25" t="s">
        <v>21</v>
      </c>
      <c r="B3" s="13">
        <v>0.72099999999999997</v>
      </c>
      <c r="C3" s="14">
        <v>100</v>
      </c>
      <c r="D3" s="14">
        <v>95.875</v>
      </c>
      <c r="E3" s="14">
        <v>2.2499999999999999E-2</v>
      </c>
      <c r="F3" s="14">
        <v>2</v>
      </c>
      <c r="G3" s="14">
        <v>61</v>
      </c>
      <c r="H3" s="14">
        <v>182</v>
      </c>
      <c r="I3" s="12">
        <f>(G3/H3)*((E3*C3)/F3)</f>
        <v>0.37706043956043955</v>
      </c>
      <c r="J3" s="12">
        <f>D3+I3</f>
        <v>96.252060439560438</v>
      </c>
      <c r="K3" s="13">
        <f>(J3+(J3*Q3*(P3/360))-(I3+(P3/H3)*((E3*C3)/F3)))/B3</f>
        <v>133.29539116889907</v>
      </c>
      <c r="L3" s="21">
        <f>J3-(K3*B3+(I3+(P3/H3)*((E3*C3)/F3)))</f>
        <v>-0.52149901079820893</v>
      </c>
      <c r="M3" s="13">
        <f>(J3+(J3*($Q$3+$R$3)*($P$3/360))-(I3+($P$3/H3)*((E3*C3)/F3)))/B3</f>
        <v>133.38253569888559</v>
      </c>
      <c r="N3" s="15">
        <f>J3-(M3*B3+(I3+(P3/H3)*((E3*C3)/F3)))</f>
        <v>-0.58433021691848808</v>
      </c>
      <c r="O3" s="8"/>
      <c r="P3" s="13">
        <v>47</v>
      </c>
      <c r="Q3" s="16">
        <v>4.1500000000000002E-2</v>
      </c>
      <c r="R3" s="23">
        <v>5.0000000000000001E-3</v>
      </c>
      <c r="S3" s="24" t="s">
        <v>20</v>
      </c>
    </row>
    <row r="4" spans="1:19" ht="33" customHeight="1" x14ac:dyDescent="0.25">
      <c r="A4" s="25" t="s">
        <v>22</v>
      </c>
      <c r="B4" s="13">
        <v>0.74250000000000005</v>
      </c>
      <c r="C4" s="14">
        <v>100</v>
      </c>
      <c r="D4" s="14">
        <v>96.4375</v>
      </c>
      <c r="E4" s="14">
        <v>2.5000000000000001E-2</v>
      </c>
      <c r="F4" s="14">
        <v>2</v>
      </c>
      <c r="G4" s="14">
        <v>58</v>
      </c>
      <c r="H4" s="14">
        <v>182</v>
      </c>
      <c r="I4" s="12">
        <f>(G4/H4)*((E4*C4)/F4)</f>
        <v>0.39835164835164832</v>
      </c>
      <c r="J4" s="12">
        <f>D4+I4</f>
        <v>96.83585164835165</v>
      </c>
      <c r="K4" s="13">
        <f>(J4+(J4*Q3*(P3/360))-(I4+(P3/H4)*((E4*C4)/F4)))/B4</f>
        <v>130.15401996794358</v>
      </c>
      <c r="L4" s="21">
        <f>J4-(K4*B4+(I4+(P3/H4)*((E4*C4)/F4)))</f>
        <v>-0.52466202400030681</v>
      </c>
      <c r="M4" s="13">
        <f>(J4+(J4*($Q$3+$R$3)*($P$3/360))-(I4+($P$3/H4)*((E4*C4)/F4)))/B4</f>
        <v>130.23915436800854</v>
      </c>
      <c r="N4" s="15">
        <f>J4-(M4*B4+(I4+(P3/H4)*((E4*C4)/F4)))</f>
        <v>-0.58787431604854135</v>
      </c>
      <c r="O4" s="17"/>
      <c r="P4" s="17"/>
      <c r="Q4" s="17"/>
    </row>
    <row r="5" spans="1:19" ht="33.75" customHeight="1" x14ac:dyDescent="0.25">
      <c r="A5" s="25" t="s">
        <v>23</v>
      </c>
      <c r="B5" s="13">
        <v>0.76400000000000001</v>
      </c>
      <c r="C5" s="14">
        <v>100</v>
      </c>
      <c r="D5" s="14">
        <v>97.1875</v>
      </c>
      <c r="E5" s="14">
        <v>2.75E-2</v>
      </c>
      <c r="F5" s="14">
        <v>2</v>
      </c>
      <c r="G5" s="14">
        <v>63</v>
      </c>
      <c r="H5" s="14">
        <v>182</v>
      </c>
      <c r="I5" s="12">
        <f>(G5/H5)*((E5*C5)/F5)</f>
        <v>0.47596153846153844</v>
      </c>
      <c r="J5" s="12">
        <f>D5+I5</f>
        <v>97.663461538461533</v>
      </c>
      <c r="K5" s="13">
        <f>(J5+(J5*Q3*(P3/360))-(I5+(P3/H5)*((E5*C5)/F5)))/B5</f>
        <v>127.43660162667646</v>
      </c>
      <c r="L5" s="21">
        <f>J5-(K5*B5+(I5+(P3/H5)*((E5*C5)/F5)))</f>
        <v>-0.52914606036324585</v>
      </c>
      <c r="M5" s="13">
        <f>(J5+(J5*($R$3+Q3)*($P$3/360))-(I5+($P$3/360)*((E5*C5)/F5)))/B5</f>
        <v>127.74984909537633</v>
      </c>
      <c r="N5" s="15">
        <f>J5-(M5*B5+(I5+(P3/H5)*((E5*C5)/F5)))</f>
        <v>-0.76846712644994852</v>
      </c>
      <c r="O5" s="17"/>
      <c r="P5" s="17"/>
      <c r="Q5" s="17"/>
    </row>
    <row r="6" spans="1:19" ht="31.5" customHeight="1" x14ac:dyDescent="0.25">
      <c r="A6" s="25" t="s">
        <v>24</v>
      </c>
      <c r="B6" s="13">
        <v>0.78649999999999998</v>
      </c>
      <c r="C6" s="14">
        <v>100</v>
      </c>
      <c r="D6" s="14">
        <v>98.0625</v>
      </c>
      <c r="E6" s="14">
        <v>0.03</v>
      </c>
      <c r="F6" s="14">
        <v>2</v>
      </c>
      <c r="G6" s="14">
        <v>55</v>
      </c>
      <c r="H6" s="14">
        <v>182</v>
      </c>
      <c r="I6" s="12">
        <f>(G6/H6)*((E6*C6)/F6)</f>
        <v>0.45329670329670324</v>
      </c>
      <c r="J6" s="12">
        <f>D6+I6</f>
        <v>98.515796703296701</v>
      </c>
      <c r="K6" s="13">
        <f>(J6+(J6*Q3*(P3/360))-(I6+(P3/H6)*((E6*C6)/F6)))/B6</f>
        <v>124.86827898572871</v>
      </c>
      <c r="L6" s="21">
        <f>J6-(K6*B6+(I6+(P3/H6)*((E6*C6)/F6)))</f>
        <v>-0.53376405963827267</v>
      </c>
      <c r="M6" s="13">
        <f>(J6+(J6*(Q3+$R$3)*($P$3/360))-(I6+($P$3/360)*((E6*C6)/F6)))/B6</f>
        <v>125.19356598747987</v>
      </c>
      <c r="N6" s="20">
        <f>J6-(M6*B6+(I6+(P3/H6)*((E6*C6)/F6)))</f>
        <v>-0.78960228651556008</v>
      </c>
      <c r="O6" s="17" t="s">
        <v>11</v>
      </c>
      <c r="P6" s="17"/>
      <c r="Q6" s="17"/>
    </row>
    <row r="7" spans="1:19" ht="33" customHeight="1" x14ac:dyDescent="0.25">
      <c r="A7" s="25" t="s">
        <v>25</v>
      </c>
      <c r="B7" s="13">
        <v>0.80800000000000005</v>
      </c>
      <c r="C7" s="14">
        <v>100</v>
      </c>
      <c r="D7" s="14">
        <v>99.125</v>
      </c>
      <c r="E7" s="14">
        <v>3.2500000000000001E-2</v>
      </c>
      <c r="F7" s="14">
        <v>2</v>
      </c>
      <c r="G7" s="14">
        <v>60</v>
      </c>
      <c r="H7" s="14">
        <v>182</v>
      </c>
      <c r="I7" s="12">
        <f>(G7/H7)*((E7*C7)/F7)</f>
        <v>0.5357142857142857</v>
      </c>
      <c r="J7" s="12">
        <f>D7+I7</f>
        <v>99.660714285714292</v>
      </c>
      <c r="K7" s="13">
        <f>(J7+(J7*Q3*(P3/360))-(I7+(P3/H7)*((E7*C7)/F7)))/B7</f>
        <v>122.8283718187667</v>
      </c>
      <c r="L7" s="21">
        <f>J7-(K7*B7+(I7+(P3/H7)*((E7*C7)/F7)))</f>
        <v>-0.53996728670634297</v>
      </c>
      <c r="M7" s="13">
        <f>(J7+(J7*(Q3+$R$3)*($P$3/360))-(I7+($P$3/360)*((E7*C7)/F7)))/B7</f>
        <v>123.16568169372741</v>
      </c>
      <c r="N7" s="15">
        <f>J7-(M7*B7+(I7+(P3/H7)*((E7*C7)/F7)))</f>
        <v>-0.81251366567460082</v>
      </c>
      <c r="O7" s="8"/>
      <c r="P7" s="8"/>
      <c r="Q7" s="17"/>
    </row>
    <row r="8" spans="1:19" ht="31.5" customHeight="1" x14ac:dyDescent="0.25">
      <c r="A8" s="25" t="s">
        <v>26</v>
      </c>
      <c r="B8" s="13">
        <v>0.83150000000000002</v>
      </c>
      <c r="C8" s="14">
        <v>100</v>
      </c>
      <c r="D8" s="14">
        <v>100.0625</v>
      </c>
      <c r="E8" s="14">
        <v>3.5000000000000003E-2</v>
      </c>
      <c r="F8" s="14">
        <v>2</v>
      </c>
      <c r="G8" s="14">
        <v>59</v>
      </c>
      <c r="H8" s="14">
        <v>182</v>
      </c>
      <c r="I8" s="12">
        <f>(G8/H8)*((E8*C8)/F8)</f>
        <v>0.5673076923076924</v>
      </c>
      <c r="J8" s="12">
        <f>D8+I8</f>
        <v>100.62980769230769</v>
      </c>
      <c r="K8" s="13">
        <f>(J8+(J8*Q3*(P3/360))-(I8+(P3/H8)*((E8*C8)/F8)))/B8</f>
        <v>120.45194805976995</v>
      </c>
      <c r="L8" s="21">
        <f>J8-(K8*B8+(I8+(P3/H8)*((E8*C8)/F8)))</f>
        <v>-0.54521788862179221</v>
      </c>
      <c r="M8" s="13">
        <f>(J8+(J8*(Q3+$R$3)*($P$3/360))-(I8+($P$3/360)*((E8*C8)/F8)))/B8</f>
        <v>120.79968078008798</v>
      </c>
      <c r="N8" s="15">
        <f>J8-(M8*B8+(I8+(P3/H8)*((E8*C8)/F8)))</f>
        <v>-0.83435764556624292</v>
      </c>
    </row>
    <row r="9" spans="1:19" ht="33" customHeight="1" x14ac:dyDescent="0.25">
      <c r="A9" s="25" t="s">
        <v>27</v>
      </c>
      <c r="B9" s="13">
        <v>0.85399999999999998</v>
      </c>
      <c r="C9" s="14">
        <v>100</v>
      </c>
      <c r="D9" s="14">
        <v>100.875</v>
      </c>
      <c r="E9" s="14">
        <v>3.7499999999999999E-2</v>
      </c>
      <c r="F9" s="14">
        <v>2</v>
      </c>
      <c r="G9" s="14">
        <v>62</v>
      </c>
      <c r="H9" s="14">
        <v>182</v>
      </c>
      <c r="I9" s="12">
        <f>(G9/H9)*((E9*C9)/F9)</f>
        <v>0.6387362637362638</v>
      </c>
      <c r="J9" s="12">
        <f>D9+I9</f>
        <v>101.51373626373626</v>
      </c>
      <c r="K9" s="13">
        <f>(J9+(J9*Q3*(P3/360))-(I9+(P3/H9)*((E9*C9)/F9)))/B9</f>
        <v>118.19766248949138</v>
      </c>
      <c r="L9" s="21">
        <f>J9-(K9*B9+(I9+(P3/H9)*((E9*C9)/F9)))</f>
        <v>-0.55000706272893751</v>
      </c>
      <c r="M9" s="13">
        <f>(J9+(J9*(Q3+$R$3)*($P$3/360))-(I9+($P$3/360)*((E9*C9)/F9)))/B9</f>
        <v>118.55559872041503</v>
      </c>
      <c r="N9" s="15">
        <f>J9-(M9*B9+(I9+(P3/H9)*((E9*C9)/F9)))</f>
        <v>-0.85568460393773194</v>
      </c>
    </row>
    <row r="10" spans="1:19" ht="34.5" customHeight="1" x14ac:dyDescent="0.25">
      <c r="A10" s="25" t="s">
        <v>28</v>
      </c>
      <c r="B10" s="13">
        <v>0.878</v>
      </c>
      <c r="C10" s="14">
        <v>100</v>
      </c>
      <c r="D10" s="14">
        <v>101.4375</v>
      </c>
      <c r="E10" s="14">
        <v>0.04</v>
      </c>
      <c r="F10" s="14">
        <v>2</v>
      </c>
      <c r="G10" s="14">
        <v>61</v>
      </c>
      <c r="H10" s="14">
        <v>182</v>
      </c>
      <c r="I10" s="12">
        <f>(G10/H10)*((E10*C10)/F10)</f>
        <v>0.67032967032967028</v>
      </c>
      <c r="J10" s="12">
        <f>D10+I10</f>
        <v>102.10782967032966</v>
      </c>
      <c r="K10" s="13">
        <f>(J10+(J10*Q3*(P3/360))-(I10+(P3/H10)*((E10*C10)/F10)))/B10</f>
        <v>115.57430794684228</v>
      </c>
      <c r="L10" s="21">
        <f>J10-(K10*B10+(I10+(P3/H10)*((E10*C10)/F10)))</f>
        <v>-0.55322589381104592</v>
      </c>
      <c r="M10" s="13">
        <f>(J10+(J10*(Q3+$R$3)*($P$3/360))-(I10+($P$3/360)*((E10*C10)/F10)))/B10</f>
        <v>115.94108030164675</v>
      </c>
      <c r="N10" s="15">
        <f>J10-(M10*B10+(I10+(P3/H10)*((E10*C10)/F10)))</f>
        <v>-0.87525202132935931</v>
      </c>
    </row>
    <row r="11" spans="1:19" ht="33.75" customHeight="1" x14ac:dyDescent="0.25">
      <c r="A11" s="25" t="s">
        <v>29</v>
      </c>
      <c r="B11" s="13">
        <v>0.90100000000000002</v>
      </c>
      <c r="C11" s="14">
        <v>100</v>
      </c>
      <c r="D11" s="14">
        <v>102.125</v>
      </c>
      <c r="E11" s="14">
        <v>4.2500000000000003E-2</v>
      </c>
      <c r="F11" s="14">
        <v>2</v>
      </c>
      <c r="G11" s="14">
        <v>64</v>
      </c>
      <c r="H11" s="14">
        <v>182</v>
      </c>
      <c r="I11" s="12">
        <f>(G11/H11)*((E11*C11)/F11)</f>
        <v>0.74725274725274726</v>
      </c>
      <c r="J11" s="12">
        <f>D11+I11</f>
        <v>102.87225274725274</v>
      </c>
      <c r="K11" s="13">
        <f>(J11+(J11*Q3*(P3/360))-(I11+(P3/H11)*((E11*C11)/F11)))/B11</f>
        <v>113.35583112568926</v>
      </c>
      <c r="L11" s="21">
        <f>J11-(K11*B11+(I11+(P3/H11)*((E11*C11)/F11)))</f>
        <v>-0.55736758050976221</v>
      </c>
      <c r="M11" s="13">
        <f>(J11+(J11*(Q3+$R$3)*($P$3/360))-(I11+($P$3/360)*((E11*C11)/F11)))/B11</f>
        <v>113.73150915149562</v>
      </c>
      <c r="N11" s="15">
        <f>J11-(M11*B11+(I11+(P3/H11)*((E11*C11)/F11)))</f>
        <v>-0.89585348176129287</v>
      </c>
    </row>
    <row r="12" spans="1:19" ht="32.25" customHeight="1" x14ac:dyDescent="0.25">
      <c r="A12" s="25" t="s">
        <v>30</v>
      </c>
      <c r="B12" s="13">
        <v>0.92400000000000004</v>
      </c>
      <c r="C12" s="14">
        <v>100</v>
      </c>
      <c r="D12" s="14">
        <v>103</v>
      </c>
      <c r="E12" s="14">
        <v>4.4999999999999998E-2</v>
      </c>
      <c r="F12" s="14">
        <v>2</v>
      </c>
      <c r="G12" s="14">
        <v>57</v>
      </c>
      <c r="H12" s="14">
        <v>182</v>
      </c>
      <c r="I12" s="12">
        <f>(G12/H12)*((E12*C12)/F12)</f>
        <v>0.70467032967032961</v>
      </c>
      <c r="J12" s="12">
        <f>D12+I12</f>
        <v>103.70467032967034</v>
      </c>
      <c r="K12" s="13">
        <f>(J12+(J12*Q3*(P3/360))-(I12+(P3/H12)*((E12*C12)/F12)))/B12</f>
        <v>111.45111873287095</v>
      </c>
      <c r="L12" s="21">
        <f>J12-(K12*B12+(I12+(P3/H12)*((E12*C12)/F12)))</f>
        <v>-0.561877665216727</v>
      </c>
      <c r="M12" s="13">
        <f>(J12+(J12*(Q3+$R$3)*($P$3/360))-(I12+($P$3/360)*((E12*C12)/F12)))/B12</f>
        <v>111.83530710980489</v>
      </c>
      <c r="N12" s="15">
        <f>J12-(M12*B12+(I12+(P3/H12)*((E12*C12)/F12)))</f>
        <v>-0.91686772550367834</v>
      </c>
    </row>
    <row r="13" spans="1:19" ht="36.75" customHeight="1" x14ac:dyDescent="0.25">
      <c r="A13" s="25" t="s">
        <v>31</v>
      </c>
      <c r="B13" s="13">
        <v>0.94650000000000001</v>
      </c>
      <c r="C13" s="14">
        <v>100</v>
      </c>
      <c r="D13" s="14">
        <v>103.875</v>
      </c>
      <c r="E13" s="14">
        <v>4.7500000000000001E-2</v>
      </c>
      <c r="F13" s="14">
        <v>2</v>
      </c>
      <c r="G13" s="14">
        <v>60</v>
      </c>
      <c r="H13" s="14">
        <v>182</v>
      </c>
      <c r="I13" s="12">
        <f>(G13/H13)*((E13*C13)/F13)</f>
        <v>0.78296703296703296</v>
      </c>
      <c r="J13" s="12">
        <f>D13+I13</f>
        <v>104.65796703296704</v>
      </c>
      <c r="K13" s="13">
        <f>(J13+(J13*Q3*(P3/360))-(I13+(P3/H13)*((E13*C13)/F13)))/B13</f>
        <v>109.69753671832218</v>
      </c>
      <c r="L13" s="21">
        <f>J13-(K13*B13+(I13+(P3/H13)*((E13*C13)/F13)))</f>
        <v>-0.5670426797161241</v>
      </c>
      <c r="M13" s="13">
        <f>(J13+(J13*(Q3+$R$3)*($P$3/360))-(I13+($P$3/360)*((E13*C13)/F13)))/B13</f>
        <v>110.09011265759979</v>
      </c>
      <c r="N13" s="15">
        <f>J13-(M13*B13+(I13+(P3/H13)*((E13*C13)/F13)))</f>
        <v>-0.93861580624238172</v>
      </c>
    </row>
    <row r="14" spans="1:19" ht="39.75" customHeight="1" x14ac:dyDescent="0.25">
      <c r="A14" s="25" t="s">
        <v>32</v>
      </c>
      <c r="B14" s="13">
        <v>0.96799999999999997</v>
      </c>
      <c r="C14" s="14">
        <v>100</v>
      </c>
      <c r="D14" s="14">
        <v>104.625</v>
      </c>
      <c r="E14" s="14">
        <v>0.05</v>
      </c>
      <c r="F14" s="14">
        <v>2</v>
      </c>
      <c r="G14" s="14">
        <v>56</v>
      </c>
      <c r="H14" s="14">
        <v>182</v>
      </c>
      <c r="I14" s="12">
        <f>(G14/H14)*((E14*C14)/F14)</f>
        <v>0.76923076923076927</v>
      </c>
      <c r="J14" s="12">
        <f>D14+I14</f>
        <v>105.39423076923077</v>
      </c>
      <c r="K14" s="13">
        <f>(J14+(J14*Q3*(P3/360))-(I14+(P3/H14)*((E14*C14)/F14)))/B14</f>
        <v>108.00663987803547</v>
      </c>
      <c r="L14" s="21">
        <f>J14-(K14*B14+(I14+(P3/H14)*((E14*C14)/F14)))</f>
        <v>-0.57103179754273015</v>
      </c>
      <c r="M14" s="13">
        <f>(J14+(J14*(Q3+$R$3)*($P$3/360))-(I14+($P$3/360)*((E14*C14)/F14)))/B14</f>
        <v>108.40748132273346</v>
      </c>
      <c r="N14" s="15">
        <f>J14-(M14*B14+(I14+(P3/H14)*((E14*C14)/F14)))</f>
        <v>-0.95904631601038659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27EF202C489544903AE9974BF39310" ma:contentTypeVersion="4" ma:contentTypeDescription="Create a new document." ma:contentTypeScope="" ma:versionID="59bc2029951f676e9f30c2cc126892cb">
  <xsd:schema xmlns:xsd="http://www.w3.org/2001/XMLSchema" xmlns:xs="http://www.w3.org/2001/XMLSchema" xmlns:p="http://schemas.microsoft.com/office/2006/metadata/properties" xmlns:ns3="aa22a689-7505-4716-b802-371d38c763eb" targetNamespace="http://schemas.microsoft.com/office/2006/metadata/properties" ma:root="true" ma:fieldsID="11ccfcbd33bee6523d6e1d1941903c6f" ns3:_="">
    <xsd:import namespace="aa22a689-7505-4716-b802-371d38c763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2a689-7505-4716-b802-371d38c763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E0A2B10-697D-48ED-95D9-3D6979290D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22a689-7505-4716-b802-371d38c763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2DAFCB-7D28-442C-AC30-20F1D85300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D00D7F-3816-4FA4-B571-46E8540C33E0}">
  <ds:schemaRefs>
    <ds:schemaRef ds:uri="aa22a689-7505-4716-b802-371d38c763eb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Daniel, Robert Nikolas</dc:creator>
  <cp:lastModifiedBy>Daniel, Robert Nikolas</cp:lastModifiedBy>
  <dcterms:created xsi:type="dcterms:W3CDTF">2026-06-01T14:54:26Z</dcterms:created>
  <dcterms:modified xsi:type="dcterms:W3CDTF">2026-06-01T20:25:41Z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0x0101007527EF202C489544903AE9974BF39310</vt:lpwstr>
  </property>
</Properties>
</file>